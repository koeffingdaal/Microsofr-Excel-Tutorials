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<sst xmlns="http://schemas.openxmlformats.org/spreadsheetml/2006/main" count="43" uniqueCount="43">
  <si>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 xml:space="preserve">Employee Payroll </t>
  </si>
  <si>
    <t>Employee Name</t>
  </si>
  <si>
    <t>Hours Worked</t>
  </si>
  <si>
    <t>Overtime Hours</t>
  </si>
  <si>
    <t>Pay</t>
  </si>
  <si>
    <t>Overtime Bonus</t>
  </si>
  <si>
    <t>Total Pay</t>
  </si>
  <si>
    <t>Last Name</t>
  </si>
  <si>
    <t>First Name</t>
  </si>
  <si>
    <t>Hourly Wage</t>
  </si>
  <si>
    <t>Hasan</t>
  </si>
  <si>
    <t>Sayed</t>
  </si>
  <si>
    <t>Kamal</t>
  </si>
  <si>
    <t>Faiaz</t>
  </si>
  <si>
    <t>Kazi</t>
  </si>
  <si>
    <t>Chappu</t>
  </si>
  <si>
    <t>Adnan</t>
  </si>
  <si>
    <t>Shuvo</t>
  </si>
  <si>
    <t>Faysal</t>
  </si>
  <si>
    <t>Fahim</t>
  </si>
  <si>
    <t xml:space="preserve">Haque </t>
  </si>
  <si>
    <t>Satvee</t>
  </si>
  <si>
    <t>Kolki</t>
  </si>
  <si>
    <t>Babu</t>
  </si>
  <si>
    <t>Jaman</t>
  </si>
  <si>
    <t>Sajib</t>
  </si>
  <si>
    <t>Fazley</t>
  </si>
  <si>
    <t>Rabbi</t>
  </si>
  <si>
    <t>Howlader</t>
  </si>
  <si>
    <t>Avi</t>
  </si>
  <si>
    <t>Golder</t>
  </si>
  <si>
    <t>Rupam</t>
  </si>
  <si>
    <t>Shafin</t>
  </si>
  <si>
    <t>Atul</t>
  </si>
  <si>
    <t>Zehad</t>
  </si>
  <si>
    <t>Antu</t>
  </si>
  <si>
    <t>Abdullah</t>
  </si>
  <si>
    <t>Mamun</t>
  </si>
  <si>
    <t xml:space="preserve"> </t>
  </si>
  <si>
    <t>Max</t>
  </si>
  <si>
    <t>Min</t>
  </si>
  <si>
    <t>Average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</si>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</sst>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&quot;$&quot;#,##0.00"/>
    <numFmt numFmtId="166" formatCode="0.0"/>
  </numFmts>
  <fonts count="2">
    <font>
      <sz val="10.0"/>
      <color rgb="FF000000"/>
      <name val="Arial"/>
      <scheme val="minor"/>
    </font>
    <font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5" fontId="1" numFmtId="0" xfId="0" applyAlignment="1" applyFill="1" applyFont="1">
      <alignment readingOrder="0"/>
    </xf>
    <xf borderId="0" fillId="5" fontId="1" numFmtId="165" xfId="0" applyAlignment="1" applyFont="1" applyNumberFormat="1">
      <alignment readingOrder="0"/>
    </xf>
    <xf borderId="0" fillId="5" fontId="1" numFmtId="0" xfId="0" applyFont="1"/>
    <xf borderId="0" fillId="5" fontId="1" numFmtId="165" xfId="0" applyFont="1" applyNumberFormat="1"/>
    <xf borderId="0" fillId="4" fontId="1" numFmtId="165" xfId="0" applyAlignment="1" applyFont="1" applyNumberFormat="1">
      <alignment readingOrder="0"/>
    </xf>
    <xf borderId="0" fillId="4" fontId="1" numFmtId="0" xfId="0" applyFont="1"/>
    <xf borderId="0" fillId="4" fontId="1" numFmtId="165" xfId="0" applyFont="1" applyNumberFormat="1"/>
    <xf borderId="0" fillId="6" fontId="1" numFmtId="165" xfId="0" applyFill="1" applyFont="1" applyNumberFormat="1"/>
    <xf borderId="0" fillId="6" fontId="1" numFmtId="166" xfId="0" applyFont="1" applyNumberFormat="1"/>
    <xf borderId="0" fillId="7" fontId="1" numFmtId="166" xfId="0" applyFill="1" applyFont="1" applyNumberFormat="1"/>
    <xf borderId="0" fillId="7" fontId="1" numFmtId="166" xfId="0" applyAlignment="1" applyFont="1" applyNumberFormat="1">
      <alignment horizontal="right" vertical="bottom"/>
    </xf>
    <xf borderId="0" fillId="8" fontId="1" numFmtId="165" xfId="0" applyFill="1" applyFont="1" applyNumberFormat="1"/>
    <xf borderId="0" fillId="9" fontId="1" numFmtId="165" xfId="0" applyFill="1" applyFont="1" applyNumberFormat="1"/>
    <xf borderId="0" fillId="10" fontId="1" numFmtId="165" xfId="0" applyFill="1" applyFont="1" applyNumberFormat="1"/>
    <xf borderId="0" fillId="6" fontId="1" numFmtId="0" xfId="0" applyFont="1"/>
    <xf borderId="0" fillId="7" fontId="1" numFmtId="0" xfId="0" applyFont="1"/>
    <xf borderId="0" fillId="7" fontId="1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1" type="secondRowStripe"/>
    </tableStyle>
    <tableStyle count="3" pivot="0" name="Sheet1-style 2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4:C27" displayName="Table_1" name="Table_1" id="1">
  <tableColumns count="1">
    <tableColumn name="Column1" id="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24:AB27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16.0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4"/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>
      <c r="A5" s="5" t="s">
        <v>1</v>
      </c>
      <c r="C5" s="6"/>
      <c r="D5" s="5" t="s">
        <v>2</v>
      </c>
      <c r="I5" s="5" t="s">
        <v>3</v>
      </c>
      <c r="N5" s="5" t="s">
        <v>4</v>
      </c>
      <c r="S5" s="5" t="s">
        <v>5</v>
      </c>
      <c r="X5" s="5" t="s">
        <v>6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>
      <c r="A6" s="7" t="s">
        <v>7</v>
      </c>
      <c r="B6" s="7" t="s">
        <v>8</v>
      </c>
      <c r="C6" s="7" t="s">
        <v>9</v>
      </c>
      <c r="D6" s="8">
        <v>46023.0</v>
      </c>
      <c r="E6" s="8">
        <f t="shared" ref="E6:H6" si="1">D6+7</f>
        <v>46030</v>
      </c>
      <c r="F6" s="8">
        <f t="shared" si="1"/>
        <v>46037</v>
      </c>
      <c r="G6" s="8">
        <f t="shared" si="1"/>
        <v>46044</v>
      </c>
      <c r="H6" s="8">
        <f t="shared" si="1"/>
        <v>46051</v>
      </c>
      <c r="I6" s="8">
        <v>46023.0</v>
      </c>
      <c r="J6" s="8">
        <f t="shared" ref="J6:M6" si="2">I6+7</f>
        <v>46030</v>
      </c>
      <c r="K6" s="8">
        <f t="shared" si="2"/>
        <v>46037</v>
      </c>
      <c r="L6" s="8">
        <f t="shared" si="2"/>
        <v>46044</v>
      </c>
      <c r="M6" s="8">
        <f t="shared" si="2"/>
        <v>46051</v>
      </c>
      <c r="N6" s="8">
        <v>46023.0</v>
      </c>
      <c r="O6" s="8">
        <f t="shared" ref="O6:R6" si="3">N6+7</f>
        <v>46030</v>
      </c>
      <c r="P6" s="8">
        <f t="shared" si="3"/>
        <v>46037</v>
      </c>
      <c r="Q6" s="8">
        <f t="shared" si="3"/>
        <v>46044</v>
      </c>
      <c r="R6" s="8">
        <f t="shared" si="3"/>
        <v>46051</v>
      </c>
      <c r="S6" s="8">
        <v>46023.0</v>
      </c>
      <c r="T6" s="8">
        <f t="shared" ref="T6:W6" si="4">S6+7</f>
        <v>46030</v>
      </c>
      <c r="U6" s="8">
        <f t="shared" si="4"/>
        <v>46037</v>
      </c>
      <c r="V6" s="8">
        <f t="shared" si="4"/>
        <v>46044</v>
      </c>
      <c r="W6" s="8">
        <f t="shared" si="4"/>
        <v>46051</v>
      </c>
      <c r="X6" s="8">
        <v>46023.0</v>
      </c>
      <c r="Y6" s="9">
        <f t="shared" ref="Y6:AB6" si="5">X6+7</f>
        <v>46030</v>
      </c>
      <c r="Z6" s="9">
        <f t="shared" si="5"/>
        <v>46037</v>
      </c>
      <c r="AA6" s="9">
        <f t="shared" si="5"/>
        <v>46044</v>
      </c>
      <c r="AB6" s="9">
        <f t="shared" si="5"/>
        <v>46051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>
      <c r="A7" s="10" t="s">
        <v>10</v>
      </c>
      <c r="B7" s="10" t="s">
        <v>11</v>
      </c>
      <c r="C7" s="11">
        <v>28.0</v>
      </c>
      <c r="D7" s="10">
        <v>40.0</v>
      </c>
      <c r="E7" s="10">
        <v>44.0</v>
      </c>
      <c r="F7" s="10">
        <v>32.0</v>
      </c>
      <c r="G7" s="10">
        <v>45.0</v>
      </c>
      <c r="H7" s="10">
        <v>44.0</v>
      </c>
      <c r="I7" s="12">
        <f t="shared" ref="I7:M7" si="6">if(D7&gt;40,D7-40,0)</f>
        <v>0</v>
      </c>
      <c r="J7" s="12">
        <f t="shared" si="6"/>
        <v>4</v>
      </c>
      <c r="K7" s="12">
        <f t="shared" si="6"/>
        <v>0</v>
      </c>
      <c r="L7" s="12">
        <f t="shared" si="6"/>
        <v>5</v>
      </c>
      <c r="M7" s="12">
        <f t="shared" si="6"/>
        <v>4</v>
      </c>
      <c r="N7" s="13">
        <f t="shared" ref="N7:R7" si="7">$C7*D7</f>
        <v>1120</v>
      </c>
      <c r="O7" s="13">
        <f t="shared" si="7"/>
        <v>1232</v>
      </c>
      <c r="P7" s="13">
        <f t="shared" si="7"/>
        <v>896</v>
      </c>
      <c r="Q7" s="13">
        <f t="shared" si="7"/>
        <v>1260</v>
      </c>
      <c r="R7" s="13">
        <f t="shared" si="7"/>
        <v>1232</v>
      </c>
      <c r="S7" s="13">
        <f t="shared" ref="S7:W7" si="8">0.6*$C7*I7</f>
        <v>0</v>
      </c>
      <c r="T7" s="13">
        <f t="shared" si="8"/>
        <v>67.2</v>
      </c>
      <c r="U7" s="13">
        <f t="shared" si="8"/>
        <v>0</v>
      </c>
      <c r="V7" s="13">
        <f t="shared" si="8"/>
        <v>84</v>
      </c>
      <c r="W7" s="13">
        <f t="shared" si="8"/>
        <v>67.2</v>
      </c>
      <c r="X7" s="13">
        <f t="shared" ref="X7:AB7" si="9">sum(N7,S7)</f>
        <v>1120</v>
      </c>
      <c r="Y7" s="13">
        <f t="shared" si="9"/>
        <v>1299.2</v>
      </c>
      <c r="Z7" s="13">
        <f t="shared" si="9"/>
        <v>896</v>
      </c>
      <c r="AA7" s="13">
        <f t="shared" si="9"/>
        <v>1344</v>
      </c>
      <c r="AB7" s="13">
        <f t="shared" si="9"/>
        <v>1299.2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>
      <c r="A8" s="7" t="s">
        <v>12</v>
      </c>
      <c r="B8" s="7" t="s">
        <v>13</v>
      </c>
      <c r="C8" s="14">
        <v>27.8</v>
      </c>
      <c r="D8" s="7">
        <v>32.0</v>
      </c>
      <c r="E8" s="7">
        <v>45.0</v>
      </c>
      <c r="F8" s="7">
        <v>35.0</v>
      </c>
      <c r="G8" s="7">
        <v>37.5</v>
      </c>
      <c r="H8" s="7">
        <v>45.0</v>
      </c>
      <c r="I8" s="15">
        <f t="shared" ref="I8:M8" si="10">if(D8&gt;40,D8-40,0)</f>
        <v>0</v>
      </c>
      <c r="J8" s="15">
        <f t="shared" si="10"/>
        <v>5</v>
      </c>
      <c r="K8" s="15">
        <f t="shared" si="10"/>
        <v>0</v>
      </c>
      <c r="L8" s="15">
        <f t="shared" si="10"/>
        <v>0</v>
      </c>
      <c r="M8" s="15">
        <f t="shared" si="10"/>
        <v>5</v>
      </c>
      <c r="N8" s="16">
        <f t="shared" ref="N8:R8" si="11">$C8*D8</f>
        <v>889.6</v>
      </c>
      <c r="O8" s="16">
        <f t="shared" si="11"/>
        <v>1251</v>
      </c>
      <c r="P8" s="16">
        <f t="shared" si="11"/>
        <v>973</v>
      </c>
      <c r="Q8" s="16">
        <f t="shared" si="11"/>
        <v>1042.5</v>
      </c>
      <c r="R8" s="16">
        <f t="shared" si="11"/>
        <v>1251</v>
      </c>
      <c r="S8" s="16">
        <f t="shared" ref="S8:W8" si="12">0.6*$C8*I8</f>
        <v>0</v>
      </c>
      <c r="T8" s="16">
        <f t="shared" si="12"/>
        <v>83.4</v>
      </c>
      <c r="U8" s="16">
        <f t="shared" si="12"/>
        <v>0</v>
      </c>
      <c r="V8" s="16">
        <f t="shared" si="12"/>
        <v>0</v>
      </c>
      <c r="W8" s="16">
        <f t="shared" si="12"/>
        <v>83.4</v>
      </c>
      <c r="X8" s="16">
        <f t="shared" ref="X8:AB8" si="13">sum(N8,S8)</f>
        <v>889.6</v>
      </c>
      <c r="Y8" s="16">
        <f t="shared" si="13"/>
        <v>1334.4</v>
      </c>
      <c r="Z8" s="16">
        <f t="shared" si="13"/>
        <v>973</v>
      </c>
      <c r="AA8" s="16">
        <f t="shared" si="13"/>
        <v>1042.5</v>
      </c>
      <c r="AB8" s="16">
        <f t="shared" si="13"/>
        <v>1334.4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>
      <c r="A9" s="10" t="s">
        <v>14</v>
      </c>
      <c r="B9" s="10" t="s">
        <v>15</v>
      </c>
      <c r="C9" s="11">
        <v>26.5</v>
      </c>
      <c r="D9" s="10">
        <v>35.0</v>
      </c>
      <c r="E9" s="10">
        <v>37.5</v>
      </c>
      <c r="F9" s="10">
        <v>44.0</v>
      </c>
      <c r="G9" s="10">
        <v>44.0</v>
      </c>
      <c r="H9" s="10">
        <v>37.5</v>
      </c>
      <c r="I9" s="12">
        <f t="shared" ref="I9:M9" si="14">if(D9&gt;40,D9-40,0)</f>
        <v>0</v>
      </c>
      <c r="J9" s="12">
        <f t="shared" si="14"/>
        <v>0</v>
      </c>
      <c r="K9" s="12">
        <f t="shared" si="14"/>
        <v>4</v>
      </c>
      <c r="L9" s="12">
        <f t="shared" si="14"/>
        <v>4</v>
      </c>
      <c r="M9" s="12">
        <f t="shared" si="14"/>
        <v>0</v>
      </c>
      <c r="N9" s="13">
        <f t="shared" ref="N9:R9" si="15">$C9*D9</f>
        <v>927.5</v>
      </c>
      <c r="O9" s="13">
        <f t="shared" si="15"/>
        <v>993.75</v>
      </c>
      <c r="P9" s="13">
        <f t="shared" si="15"/>
        <v>1166</v>
      </c>
      <c r="Q9" s="13">
        <f t="shared" si="15"/>
        <v>1166</v>
      </c>
      <c r="R9" s="13">
        <f t="shared" si="15"/>
        <v>993.75</v>
      </c>
      <c r="S9" s="13">
        <f t="shared" ref="S9:W9" si="16">0.6*$C9*I9</f>
        <v>0</v>
      </c>
      <c r="T9" s="13">
        <f t="shared" si="16"/>
        <v>0</v>
      </c>
      <c r="U9" s="13">
        <f t="shared" si="16"/>
        <v>63.6</v>
      </c>
      <c r="V9" s="13">
        <f t="shared" si="16"/>
        <v>63.6</v>
      </c>
      <c r="W9" s="13">
        <f t="shared" si="16"/>
        <v>0</v>
      </c>
      <c r="X9" s="13">
        <f t="shared" ref="X9:AB9" si="17">sum(N9,S9)</f>
        <v>927.5</v>
      </c>
      <c r="Y9" s="13">
        <f t="shared" si="17"/>
        <v>993.75</v>
      </c>
      <c r="Z9" s="13">
        <f t="shared" si="17"/>
        <v>1229.6</v>
      </c>
      <c r="AA9" s="13">
        <f t="shared" si="17"/>
        <v>1229.6</v>
      </c>
      <c r="AB9" s="13">
        <f t="shared" si="17"/>
        <v>993.75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>
      <c r="A10" s="7" t="s">
        <v>16</v>
      </c>
      <c r="B10" s="7" t="s">
        <v>17</v>
      </c>
      <c r="C10" s="14">
        <v>24.05</v>
      </c>
      <c r="D10" s="7">
        <v>44.0</v>
      </c>
      <c r="E10" s="7">
        <v>44.0</v>
      </c>
      <c r="F10" s="7">
        <v>45.0</v>
      </c>
      <c r="G10" s="7">
        <v>44.0</v>
      </c>
      <c r="H10" s="7">
        <v>44.0</v>
      </c>
      <c r="I10" s="15">
        <f t="shared" ref="I10:M10" si="18">if(D10&gt;40,D10-40,0)</f>
        <v>4</v>
      </c>
      <c r="J10" s="15">
        <f t="shared" si="18"/>
        <v>4</v>
      </c>
      <c r="K10" s="15">
        <f t="shared" si="18"/>
        <v>5</v>
      </c>
      <c r="L10" s="15">
        <f t="shared" si="18"/>
        <v>4</v>
      </c>
      <c r="M10" s="15">
        <f t="shared" si="18"/>
        <v>4</v>
      </c>
      <c r="N10" s="16">
        <f t="shared" ref="N10:R10" si="19">$C10*D10</f>
        <v>1058.2</v>
      </c>
      <c r="O10" s="16">
        <f t="shared" si="19"/>
        <v>1058.2</v>
      </c>
      <c r="P10" s="16">
        <f t="shared" si="19"/>
        <v>1082.25</v>
      </c>
      <c r="Q10" s="16">
        <f t="shared" si="19"/>
        <v>1058.2</v>
      </c>
      <c r="R10" s="16">
        <f t="shared" si="19"/>
        <v>1058.2</v>
      </c>
      <c r="S10" s="16">
        <f t="shared" ref="S10:W10" si="20">0.6*$C10*I10</f>
        <v>57.72</v>
      </c>
      <c r="T10" s="16">
        <f t="shared" si="20"/>
        <v>57.72</v>
      </c>
      <c r="U10" s="16">
        <f t="shared" si="20"/>
        <v>72.15</v>
      </c>
      <c r="V10" s="16">
        <f t="shared" si="20"/>
        <v>57.72</v>
      </c>
      <c r="W10" s="16">
        <f t="shared" si="20"/>
        <v>57.72</v>
      </c>
      <c r="X10" s="16">
        <f t="shared" ref="X10:AB10" si="21">sum(N10,S10)</f>
        <v>1115.92</v>
      </c>
      <c r="Y10" s="16">
        <f t="shared" si="21"/>
        <v>1115.92</v>
      </c>
      <c r="Z10" s="16">
        <f t="shared" si="21"/>
        <v>1154.4</v>
      </c>
      <c r="AA10" s="16">
        <f t="shared" si="21"/>
        <v>1115.92</v>
      </c>
      <c r="AB10" s="16">
        <f t="shared" si="21"/>
        <v>1115.92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>
      <c r="A11" s="10" t="s">
        <v>18</v>
      </c>
      <c r="B11" s="10" t="s">
        <v>19</v>
      </c>
      <c r="C11" s="11">
        <v>33.0</v>
      </c>
      <c r="D11" s="10">
        <v>45.0</v>
      </c>
      <c r="E11" s="10">
        <v>40.0</v>
      </c>
      <c r="F11" s="10">
        <v>37.5</v>
      </c>
      <c r="G11" s="10">
        <v>40.0</v>
      </c>
      <c r="H11" s="10">
        <v>40.0</v>
      </c>
      <c r="I11" s="12">
        <f t="shared" ref="I11:M11" si="22">if(D11&gt;40,D11-40,0)</f>
        <v>5</v>
      </c>
      <c r="J11" s="12">
        <f t="shared" si="22"/>
        <v>0</v>
      </c>
      <c r="K11" s="12">
        <f t="shared" si="22"/>
        <v>0</v>
      </c>
      <c r="L11" s="12">
        <f t="shared" si="22"/>
        <v>0</v>
      </c>
      <c r="M11" s="12">
        <f t="shared" si="22"/>
        <v>0</v>
      </c>
      <c r="N11" s="13">
        <f t="shared" ref="N11:R11" si="23">$C11*D11</f>
        <v>1485</v>
      </c>
      <c r="O11" s="13">
        <f t="shared" si="23"/>
        <v>1320</v>
      </c>
      <c r="P11" s="13">
        <f t="shared" si="23"/>
        <v>1237.5</v>
      </c>
      <c r="Q11" s="13">
        <f t="shared" si="23"/>
        <v>1320</v>
      </c>
      <c r="R11" s="13">
        <f t="shared" si="23"/>
        <v>1320</v>
      </c>
      <c r="S11" s="13">
        <f t="shared" ref="S11:W11" si="24">0.6*$C11*I11</f>
        <v>99</v>
      </c>
      <c r="T11" s="13">
        <f t="shared" si="24"/>
        <v>0</v>
      </c>
      <c r="U11" s="13">
        <f t="shared" si="24"/>
        <v>0</v>
      </c>
      <c r="V11" s="13">
        <f t="shared" si="24"/>
        <v>0</v>
      </c>
      <c r="W11" s="13">
        <f t="shared" si="24"/>
        <v>0</v>
      </c>
      <c r="X11" s="13">
        <f t="shared" ref="X11:AB11" si="25">sum(N11,S11)</f>
        <v>1584</v>
      </c>
      <c r="Y11" s="13">
        <f t="shared" si="25"/>
        <v>1320</v>
      </c>
      <c r="Z11" s="13">
        <f t="shared" si="25"/>
        <v>1237.5</v>
      </c>
      <c r="AA11" s="13">
        <f t="shared" si="25"/>
        <v>1320</v>
      </c>
      <c r="AB11" s="13">
        <f t="shared" si="25"/>
        <v>1320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>
      <c r="A12" s="7" t="s">
        <v>20</v>
      </c>
      <c r="B12" s="7" t="s">
        <v>21</v>
      </c>
      <c r="C12" s="14">
        <v>31.1</v>
      </c>
      <c r="D12" s="7">
        <v>37.5</v>
      </c>
      <c r="E12" s="7">
        <v>32.0</v>
      </c>
      <c r="F12" s="7">
        <v>44.0</v>
      </c>
      <c r="G12" s="7">
        <v>32.0</v>
      </c>
      <c r="H12" s="7">
        <v>45.0</v>
      </c>
      <c r="I12" s="15">
        <f t="shared" ref="I12:M12" si="26">if(D12&gt;40,D12-40,0)</f>
        <v>0</v>
      </c>
      <c r="J12" s="15">
        <f t="shared" si="26"/>
        <v>0</v>
      </c>
      <c r="K12" s="15">
        <f t="shared" si="26"/>
        <v>4</v>
      </c>
      <c r="L12" s="15">
        <f t="shared" si="26"/>
        <v>0</v>
      </c>
      <c r="M12" s="15">
        <f t="shared" si="26"/>
        <v>5</v>
      </c>
      <c r="N12" s="16">
        <f t="shared" ref="N12:R12" si="27">$C12*D12</f>
        <v>1166.25</v>
      </c>
      <c r="O12" s="16">
        <f t="shared" si="27"/>
        <v>995.2</v>
      </c>
      <c r="P12" s="16">
        <f t="shared" si="27"/>
        <v>1368.4</v>
      </c>
      <c r="Q12" s="16">
        <f t="shared" si="27"/>
        <v>995.2</v>
      </c>
      <c r="R12" s="16">
        <f t="shared" si="27"/>
        <v>1399.5</v>
      </c>
      <c r="S12" s="16">
        <f t="shared" ref="S12:W12" si="28">0.6*$C12*I12</f>
        <v>0</v>
      </c>
      <c r="T12" s="16">
        <f t="shared" si="28"/>
        <v>0</v>
      </c>
      <c r="U12" s="16">
        <f t="shared" si="28"/>
        <v>74.64</v>
      </c>
      <c r="V12" s="16">
        <f t="shared" si="28"/>
        <v>0</v>
      </c>
      <c r="W12" s="16">
        <f t="shared" si="28"/>
        <v>93.3</v>
      </c>
      <c r="X12" s="16">
        <f t="shared" ref="X12:AB12" si="29">sum(N12,S12)</f>
        <v>1166.25</v>
      </c>
      <c r="Y12" s="16">
        <f t="shared" si="29"/>
        <v>995.2</v>
      </c>
      <c r="Z12" s="16">
        <f t="shared" si="29"/>
        <v>1443.04</v>
      </c>
      <c r="AA12" s="16">
        <f t="shared" si="29"/>
        <v>995.2</v>
      </c>
      <c r="AB12" s="16">
        <f t="shared" si="29"/>
        <v>1492.8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>
      <c r="A13" s="10" t="s">
        <v>22</v>
      </c>
      <c r="B13" s="10" t="s">
        <v>23</v>
      </c>
      <c r="C13" s="11">
        <v>17.5</v>
      </c>
      <c r="D13" s="10">
        <v>44.0</v>
      </c>
      <c r="E13" s="10">
        <v>35.0</v>
      </c>
      <c r="F13" s="10">
        <v>31.25</v>
      </c>
      <c r="G13" s="10">
        <v>35.0</v>
      </c>
      <c r="H13" s="10">
        <v>37.5</v>
      </c>
      <c r="I13" s="12">
        <f t="shared" ref="I13:M13" si="30">if(D13&gt;40,D13-40,0)</f>
        <v>4</v>
      </c>
      <c r="J13" s="12">
        <f t="shared" si="30"/>
        <v>0</v>
      </c>
      <c r="K13" s="12">
        <f t="shared" si="30"/>
        <v>0</v>
      </c>
      <c r="L13" s="12">
        <f t="shared" si="30"/>
        <v>0</v>
      </c>
      <c r="M13" s="12">
        <f t="shared" si="30"/>
        <v>0</v>
      </c>
      <c r="N13" s="13">
        <f t="shared" ref="N13:R13" si="31">$C13*D13</f>
        <v>770</v>
      </c>
      <c r="O13" s="13">
        <f t="shared" si="31"/>
        <v>612.5</v>
      </c>
      <c r="P13" s="13">
        <f t="shared" si="31"/>
        <v>546.875</v>
      </c>
      <c r="Q13" s="13">
        <f t="shared" si="31"/>
        <v>612.5</v>
      </c>
      <c r="R13" s="13">
        <f t="shared" si="31"/>
        <v>656.25</v>
      </c>
      <c r="S13" s="13">
        <f t="shared" ref="S13:W13" si="32">0.6*$C13*I13</f>
        <v>42</v>
      </c>
      <c r="T13" s="13">
        <f t="shared" si="32"/>
        <v>0</v>
      </c>
      <c r="U13" s="13">
        <f t="shared" si="32"/>
        <v>0</v>
      </c>
      <c r="V13" s="13">
        <f t="shared" si="32"/>
        <v>0</v>
      </c>
      <c r="W13" s="13">
        <f t="shared" si="32"/>
        <v>0</v>
      </c>
      <c r="X13" s="13">
        <f t="shared" ref="X13:AB13" si="33">sum(N13,S13)</f>
        <v>812</v>
      </c>
      <c r="Y13" s="13">
        <f t="shared" si="33"/>
        <v>612.5</v>
      </c>
      <c r="Z13" s="13">
        <f t="shared" si="33"/>
        <v>546.875</v>
      </c>
      <c r="AA13" s="13">
        <f t="shared" si="33"/>
        <v>612.5</v>
      </c>
      <c r="AB13" s="13">
        <f t="shared" si="33"/>
        <v>656.25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>
      <c r="A14" s="7" t="s">
        <v>24</v>
      </c>
      <c r="B14" s="7" t="s">
        <v>25</v>
      </c>
      <c r="C14" s="14">
        <v>23.3</v>
      </c>
      <c r="D14" s="7">
        <v>31.25</v>
      </c>
      <c r="E14" s="7">
        <v>44.0</v>
      </c>
      <c r="F14" s="7">
        <v>37.0</v>
      </c>
      <c r="G14" s="7">
        <v>44.0</v>
      </c>
      <c r="H14" s="7">
        <v>44.0</v>
      </c>
      <c r="I14" s="15">
        <f t="shared" ref="I14:M14" si="34">if(D14&gt;40,D14-40,0)</f>
        <v>0</v>
      </c>
      <c r="J14" s="15">
        <f t="shared" si="34"/>
        <v>4</v>
      </c>
      <c r="K14" s="15">
        <f t="shared" si="34"/>
        <v>0</v>
      </c>
      <c r="L14" s="15">
        <f t="shared" si="34"/>
        <v>4</v>
      </c>
      <c r="M14" s="15">
        <f t="shared" si="34"/>
        <v>4</v>
      </c>
      <c r="N14" s="16">
        <f t="shared" ref="N14:R14" si="35">$C14*D14</f>
        <v>728.125</v>
      </c>
      <c r="O14" s="16">
        <f t="shared" si="35"/>
        <v>1025.2</v>
      </c>
      <c r="P14" s="16">
        <f t="shared" si="35"/>
        <v>862.1</v>
      </c>
      <c r="Q14" s="16">
        <f t="shared" si="35"/>
        <v>1025.2</v>
      </c>
      <c r="R14" s="16">
        <f t="shared" si="35"/>
        <v>1025.2</v>
      </c>
      <c r="S14" s="16">
        <f t="shared" ref="S14:W14" si="36">0.6*$C14*I14</f>
        <v>0</v>
      </c>
      <c r="T14" s="16">
        <f t="shared" si="36"/>
        <v>55.92</v>
      </c>
      <c r="U14" s="16">
        <f t="shared" si="36"/>
        <v>0</v>
      </c>
      <c r="V14" s="16">
        <f t="shared" si="36"/>
        <v>55.92</v>
      </c>
      <c r="W14" s="16">
        <f t="shared" si="36"/>
        <v>55.92</v>
      </c>
      <c r="X14" s="16">
        <f t="shared" ref="X14:AB14" si="37">sum(N14,S14)</f>
        <v>728.125</v>
      </c>
      <c r="Y14" s="16">
        <f t="shared" si="37"/>
        <v>1081.12</v>
      </c>
      <c r="Z14" s="16">
        <f t="shared" si="37"/>
        <v>862.1</v>
      </c>
      <c r="AA14" s="16">
        <f t="shared" si="37"/>
        <v>1081.12</v>
      </c>
      <c r="AB14" s="16">
        <f t="shared" si="37"/>
        <v>1081.12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>
      <c r="A15" s="10" t="s">
        <v>26</v>
      </c>
      <c r="B15" s="10" t="s">
        <v>27</v>
      </c>
      <c r="C15" s="11">
        <v>22.0</v>
      </c>
      <c r="D15" s="10">
        <v>37.0</v>
      </c>
      <c r="E15" s="10">
        <v>45.0</v>
      </c>
      <c r="F15" s="10">
        <v>37.5</v>
      </c>
      <c r="G15" s="10">
        <v>40.0</v>
      </c>
      <c r="H15" s="10">
        <v>31.25</v>
      </c>
      <c r="I15" s="12">
        <f t="shared" ref="I15:M15" si="38">if(D15&gt;40,D15-40,0)</f>
        <v>0</v>
      </c>
      <c r="J15" s="12">
        <f t="shared" si="38"/>
        <v>5</v>
      </c>
      <c r="K15" s="12">
        <f t="shared" si="38"/>
        <v>0</v>
      </c>
      <c r="L15" s="12">
        <f t="shared" si="38"/>
        <v>0</v>
      </c>
      <c r="M15" s="12">
        <f t="shared" si="38"/>
        <v>0</v>
      </c>
      <c r="N15" s="13">
        <f t="shared" ref="N15:R15" si="39">$C15*D15</f>
        <v>814</v>
      </c>
      <c r="O15" s="13">
        <f t="shared" si="39"/>
        <v>990</v>
      </c>
      <c r="P15" s="13">
        <f t="shared" si="39"/>
        <v>825</v>
      </c>
      <c r="Q15" s="13">
        <f t="shared" si="39"/>
        <v>880</v>
      </c>
      <c r="R15" s="13">
        <f t="shared" si="39"/>
        <v>687.5</v>
      </c>
      <c r="S15" s="13">
        <f t="shared" ref="S15:W15" si="40">0.6*$C15*I15</f>
        <v>0</v>
      </c>
      <c r="T15" s="13">
        <f t="shared" si="40"/>
        <v>66</v>
      </c>
      <c r="U15" s="13">
        <f t="shared" si="40"/>
        <v>0</v>
      </c>
      <c r="V15" s="13">
        <f t="shared" si="40"/>
        <v>0</v>
      </c>
      <c r="W15" s="13">
        <f t="shared" si="40"/>
        <v>0</v>
      </c>
      <c r="X15" s="13">
        <f t="shared" ref="X15:AB15" si="41">sum(N15,S15)</f>
        <v>814</v>
      </c>
      <c r="Y15" s="13">
        <f t="shared" si="41"/>
        <v>1056</v>
      </c>
      <c r="Z15" s="13">
        <f t="shared" si="41"/>
        <v>825</v>
      </c>
      <c r="AA15" s="13">
        <f t="shared" si="41"/>
        <v>880</v>
      </c>
      <c r="AB15" s="13">
        <f t="shared" si="41"/>
        <v>687.5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>
      <c r="A16" s="7" t="s">
        <v>28</v>
      </c>
      <c r="B16" s="7" t="s">
        <v>29</v>
      </c>
      <c r="C16" s="14">
        <v>19.54</v>
      </c>
      <c r="D16" s="7">
        <v>40.0</v>
      </c>
      <c r="E16" s="7">
        <v>37.5</v>
      </c>
      <c r="F16" s="7">
        <v>44.0</v>
      </c>
      <c r="G16" s="7">
        <v>32.0</v>
      </c>
      <c r="H16" s="7">
        <v>37.0</v>
      </c>
      <c r="I16" s="15">
        <f t="shared" ref="I16:M16" si="42">if(D16&gt;40,D16-40,0)</f>
        <v>0</v>
      </c>
      <c r="J16" s="15">
        <f t="shared" si="42"/>
        <v>0</v>
      </c>
      <c r="K16" s="15">
        <f t="shared" si="42"/>
        <v>4</v>
      </c>
      <c r="L16" s="15">
        <f t="shared" si="42"/>
        <v>0</v>
      </c>
      <c r="M16" s="15">
        <f t="shared" si="42"/>
        <v>0</v>
      </c>
      <c r="N16" s="16">
        <f t="shared" ref="N16:R16" si="43">$C16*D16</f>
        <v>781.6</v>
      </c>
      <c r="O16" s="16">
        <f t="shared" si="43"/>
        <v>732.75</v>
      </c>
      <c r="P16" s="16">
        <f t="shared" si="43"/>
        <v>859.76</v>
      </c>
      <c r="Q16" s="16">
        <f t="shared" si="43"/>
        <v>625.28</v>
      </c>
      <c r="R16" s="16">
        <f t="shared" si="43"/>
        <v>722.98</v>
      </c>
      <c r="S16" s="16">
        <f t="shared" ref="S16:W16" si="44">0.6*$C16*I16</f>
        <v>0</v>
      </c>
      <c r="T16" s="16">
        <f t="shared" si="44"/>
        <v>0</v>
      </c>
      <c r="U16" s="16">
        <f t="shared" si="44"/>
        <v>46.896</v>
      </c>
      <c r="V16" s="16">
        <f t="shared" si="44"/>
        <v>0</v>
      </c>
      <c r="W16" s="16">
        <f t="shared" si="44"/>
        <v>0</v>
      </c>
      <c r="X16" s="16">
        <f t="shared" ref="X16:AB16" si="45">sum(N16,S16)</f>
        <v>781.6</v>
      </c>
      <c r="Y16" s="16">
        <f t="shared" si="45"/>
        <v>732.75</v>
      </c>
      <c r="Z16" s="16">
        <f t="shared" si="45"/>
        <v>906.656</v>
      </c>
      <c r="AA16" s="16">
        <f t="shared" si="45"/>
        <v>625.28</v>
      </c>
      <c r="AB16" s="16">
        <f t="shared" si="45"/>
        <v>722.98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>
      <c r="A17" s="10" t="s">
        <v>30</v>
      </c>
      <c r="B17" s="10" t="s">
        <v>31</v>
      </c>
      <c r="C17" s="11">
        <v>17.53</v>
      </c>
      <c r="D17" s="10">
        <v>41.0</v>
      </c>
      <c r="E17" s="10">
        <v>44.0</v>
      </c>
      <c r="F17" s="10">
        <v>40.0</v>
      </c>
      <c r="G17" s="10">
        <v>35.0</v>
      </c>
      <c r="H17" s="10">
        <v>40.0</v>
      </c>
      <c r="I17" s="12">
        <f t="shared" ref="I17:M17" si="46">if(D17&gt;40,D17-40,0)</f>
        <v>1</v>
      </c>
      <c r="J17" s="12">
        <f t="shared" si="46"/>
        <v>4</v>
      </c>
      <c r="K17" s="12">
        <f t="shared" si="46"/>
        <v>0</v>
      </c>
      <c r="L17" s="12">
        <f t="shared" si="46"/>
        <v>0</v>
      </c>
      <c r="M17" s="12">
        <f t="shared" si="46"/>
        <v>0</v>
      </c>
      <c r="N17" s="13">
        <f t="shared" ref="N17:R17" si="47">$C17*D17</f>
        <v>718.73</v>
      </c>
      <c r="O17" s="13">
        <f t="shared" si="47"/>
        <v>771.32</v>
      </c>
      <c r="P17" s="13">
        <f t="shared" si="47"/>
        <v>701.2</v>
      </c>
      <c r="Q17" s="13">
        <f t="shared" si="47"/>
        <v>613.55</v>
      </c>
      <c r="R17" s="13">
        <f t="shared" si="47"/>
        <v>701.2</v>
      </c>
      <c r="S17" s="13">
        <f t="shared" ref="S17:W17" si="48">0.6*$C17*I17</f>
        <v>10.518</v>
      </c>
      <c r="T17" s="13">
        <f t="shared" si="48"/>
        <v>42.072</v>
      </c>
      <c r="U17" s="13">
        <f t="shared" si="48"/>
        <v>0</v>
      </c>
      <c r="V17" s="13">
        <f t="shared" si="48"/>
        <v>0</v>
      </c>
      <c r="W17" s="13">
        <f t="shared" si="48"/>
        <v>0</v>
      </c>
      <c r="X17" s="13">
        <f t="shared" ref="X17:AB17" si="49">sum(N17,S17)</f>
        <v>729.248</v>
      </c>
      <c r="Y17" s="13">
        <f t="shared" si="49"/>
        <v>813.392</v>
      </c>
      <c r="Z17" s="13">
        <f t="shared" si="49"/>
        <v>701.2</v>
      </c>
      <c r="AA17" s="13">
        <f t="shared" si="49"/>
        <v>613.55</v>
      </c>
      <c r="AB17" s="13">
        <f t="shared" si="49"/>
        <v>701.2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>
      <c r="A18" s="7" t="s">
        <v>32</v>
      </c>
      <c r="B18" s="7" t="s">
        <v>33</v>
      </c>
      <c r="C18" s="14">
        <v>27.9</v>
      </c>
      <c r="D18" s="7">
        <v>41.0</v>
      </c>
      <c r="E18" s="7">
        <v>31.25</v>
      </c>
      <c r="F18" s="7">
        <v>45.0</v>
      </c>
      <c r="G18" s="7">
        <v>44.0</v>
      </c>
      <c r="H18" s="7">
        <v>37.5</v>
      </c>
      <c r="I18" s="15">
        <f t="shared" ref="I18:M18" si="50">if(D18&gt;40,D18-40,0)</f>
        <v>1</v>
      </c>
      <c r="J18" s="15">
        <f t="shared" si="50"/>
        <v>0</v>
      </c>
      <c r="K18" s="15">
        <f t="shared" si="50"/>
        <v>5</v>
      </c>
      <c r="L18" s="15">
        <f t="shared" si="50"/>
        <v>4</v>
      </c>
      <c r="M18" s="15">
        <f t="shared" si="50"/>
        <v>0</v>
      </c>
      <c r="N18" s="16">
        <f t="shared" ref="N18:R18" si="51">$C18*D18</f>
        <v>1143.9</v>
      </c>
      <c r="O18" s="16">
        <f t="shared" si="51"/>
        <v>871.875</v>
      </c>
      <c r="P18" s="16">
        <f t="shared" si="51"/>
        <v>1255.5</v>
      </c>
      <c r="Q18" s="16">
        <f t="shared" si="51"/>
        <v>1227.6</v>
      </c>
      <c r="R18" s="16">
        <f t="shared" si="51"/>
        <v>1046.25</v>
      </c>
      <c r="S18" s="16">
        <f t="shared" ref="S18:W18" si="52">0.6*$C18*I18</f>
        <v>16.74</v>
      </c>
      <c r="T18" s="16">
        <f t="shared" si="52"/>
        <v>0</v>
      </c>
      <c r="U18" s="16">
        <f t="shared" si="52"/>
        <v>83.7</v>
      </c>
      <c r="V18" s="16">
        <f t="shared" si="52"/>
        <v>66.96</v>
      </c>
      <c r="W18" s="16">
        <f t="shared" si="52"/>
        <v>0</v>
      </c>
      <c r="X18" s="16">
        <f t="shared" ref="X18:AB18" si="53">sum(N18,S18)</f>
        <v>1160.64</v>
      </c>
      <c r="Y18" s="16">
        <f t="shared" si="53"/>
        <v>871.875</v>
      </c>
      <c r="Z18" s="16">
        <f t="shared" si="53"/>
        <v>1339.2</v>
      </c>
      <c r="AA18" s="16">
        <f t="shared" si="53"/>
        <v>1294.56</v>
      </c>
      <c r="AB18" s="16">
        <f t="shared" si="53"/>
        <v>1046.25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>
      <c r="A19" s="10" t="s">
        <v>34</v>
      </c>
      <c r="B19" s="10" t="s">
        <v>35</v>
      </c>
      <c r="C19" s="11">
        <v>22.54</v>
      </c>
      <c r="D19" s="10">
        <v>22.0</v>
      </c>
      <c r="E19" s="10">
        <v>37.0</v>
      </c>
      <c r="F19" s="10">
        <v>23.0</v>
      </c>
      <c r="G19" s="10">
        <v>45.0</v>
      </c>
      <c r="H19" s="10">
        <v>44.0</v>
      </c>
      <c r="I19" s="12">
        <f t="shared" ref="I19:M19" si="54">if(D19&gt;40,D19-40,0)</f>
        <v>0</v>
      </c>
      <c r="J19" s="12">
        <f t="shared" si="54"/>
        <v>0</v>
      </c>
      <c r="K19" s="12">
        <f t="shared" si="54"/>
        <v>0</v>
      </c>
      <c r="L19" s="12">
        <f t="shared" si="54"/>
        <v>5</v>
      </c>
      <c r="M19" s="12">
        <f t="shared" si="54"/>
        <v>4</v>
      </c>
      <c r="N19" s="13">
        <f t="shared" ref="N19:R19" si="55">$C19*D19</f>
        <v>495.88</v>
      </c>
      <c r="O19" s="13">
        <f t="shared" si="55"/>
        <v>833.98</v>
      </c>
      <c r="P19" s="13">
        <f t="shared" si="55"/>
        <v>518.42</v>
      </c>
      <c r="Q19" s="13">
        <f t="shared" si="55"/>
        <v>1014.3</v>
      </c>
      <c r="R19" s="13">
        <f t="shared" si="55"/>
        <v>991.76</v>
      </c>
      <c r="S19" s="13">
        <f t="shared" ref="S19:W19" si="56">0.6*$C19*I19</f>
        <v>0</v>
      </c>
      <c r="T19" s="13">
        <f t="shared" si="56"/>
        <v>0</v>
      </c>
      <c r="U19" s="13">
        <f t="shared" si="56"/>
        <v>0</v>
      </c>
      <c r="V19" s="13">
        <f t="shared" si="56"/>
        <v>67.62</v>
      </c>
      <c r="W19" s="13">
        <f t="shared" si="56"/>
        <v>54.096</v>
      </c>
      <c r="X19" s="13">
        <f t="shared" ref="X19:AB19" si="57">sum(N19,S19)</f>
        <v>495.88</v>
      </c>
      <c r="Y19" s="13">
        <f t="shared" si="57"/>
        <v>833.98</v>
      </c>
      <c r="Z19" s="13">
        <f t="shared" si="57"/>
        <v>518.42</v>
      </c>
      <c r="AA19" s="13">
        <f t="shared" si="57"/>
        <v>1081.92</v>
      </c>
      <c r="AB19" s="13">
        <f t="shared" si="57"/>
        <v>1045.856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>
      <c r="A20" s="7" t="s">
        <v>36</v>
      </c>
      <c r="B20" s="7" t="s">
        <v>37</v>
      </c>
      <c r="C20" s="14">
        <v>17.31</v>
      </c>
      <c r="D20" s="7">
        <v>43.0</v>
      </c>
      <c r="E20" s="7">
        <v>40.0</v>
      </c>
      <c r="F20" s="7">
        <v>41.5</v>
      </c>
      <c r="G20" s="7">
        <v>37.0</v>
      </c>
      <c r="H20" s="7">
        <v>40.0</v>
      </c>
      <c r="I20" s="15">
        <f t="shared" ref="I20:M20" si="58">if(D20&gt;40,D20-40,0)</f>
        <v>3</v>
      </c>
      <c r="J20" s="15">
        <f t="shared" si="58"/>
        <v>0</v>
      </c>
      <c r="K20" s="15">
        <f t="shared" si="58"/>
        <v>1.5</v>
      </c>
      <c r="L20" s="15">
        <f t="shared" si="58"/>
        <v>0</v>
      </c>
      <c r="M20" s="15">
        <f t="shared" si="58"/>
        <v>0</v>
      </c>
      <c r="N20" s="16">
        <f t="shared" ref="N20:R20" si="59">$C20*D20</f>
        <v>744.33</v>
      </c>
      <c r="O20" s="16">
        <f t="shared" si="59"/>
        <v>692.4</v>
      </c>
      <c r="P20" s="16">
        <f t="shared" si="59"/>
        <v>718.365</v>
      </c>
      <c r="Q20" s="16">
        <f t="shared" si="59"/>
        <v>640.47</v>
      </c>
      <c r="R20" s="16">
        <f t="shared" si="59"/>
        <v>692.4</v>
      </c>
      <c r="S20" s="16">
        <f t="shared" ref="S20:W20" si="60">0.6*$C20*I20</f>
        <v>31.158</v>
      </c>
      <c r="T20" s="16">
        <f t="shared" si="60"/>
        <v>0</v>
      </c>
      <c r="U20" s="16">
        <f t="shared" si="60"/>
        <v>15.579</v>
      </c>
      <c r="V20" s="16">
        <f t="shared" si="60"/>
        <v>0</v>
      </c>
      <c r="W20" s="16">
        <f t="shared" si="60"/>
        <v>0</v>
      </c>
      <c r="X20" s="16">
        <f t="shared" ref="X20:AB20" si="61">sum(N20,S20)</f>
        <v>775.488</v>
      </c>
      <c r="Y20" s="16">
        <f t="shared" si="61"/>
        <v>692.4</v>
      </c>
      <c r="Z20" s="16">
        <f t="shared" si="61"/>
        <v>733.944</v>
      </c>
      <c r="AA20" s="16">
        <f t="shared" si="61"/>
        <v>640.47</v>
      </c>
      <c r="AB20" s="16">
        <f t="shared" si="61"/>
        <v>692.4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 t="s">
        <v>38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>
      <c r="A24" s="4" t="s">
        <v>39</v>
      </c>
      <c r="B24" s="3"/>
      <c r="C24" s="17">
        <f t="shared" ref="C24:AB24" si="62">MAX(C7:C20)</f>
        <v>33</v>
      </c>
      <c r="D24" s="18">
        <f t="shared" si="62"/>
        <v>45</v>
      </c>
      <c r="E24" s="18">
        <f t="shared" si="62"/>
        <v>45</v>
      </c>
      <c r="F24" s="18">
        <f t="shared" si="62"/>
        <v>45</v>
      </c>
      <c r="G24" s="18">
        <f t="shared" si="62"/>
        <v>45</v>
      </c>
      <c r="H24" s="18">
        <f t="shared" si="62"/>
        <v>45</v>
      </c>
      <c r="I24" s="19">
        <f t="shared" si="62"/>
        <v>5</v>
      </c>
      <c r="J24" s="19">
        <f t="shared" si="62"/>
        <v>5</v>
      </c>
      <c r="K24" s="19">
        <f t="shared" si="62"/>
        <v>5</v>
      </c>
      <c r="L24" s="19">
        <f t="shared" si="62"/>
        <v>5</v>
      </c>
      <c r="M24" s="20">
        <f t="shared" si="62"/>
        <v>5</v>
      </c>
      <c r="N24" s="21">
        <f t="shared" si="62"/>
        <v>1485</v>
      </c>
      <c r="O24" s="21">
        <f t="shared" si="62"/>
        <v>1320</v>
      </c>
      <c r="P24" s="21">
        <f t="shared" si="62"/>
        <v>1368.4</v>
      </c>
      <c r="Q24" s="21">
        <f t="shared" si="62"/>
        <v>1320</v>
      </c>
      <c r="R24" s="21">
        <f t="shared" si="62"/>
        <v>1399.5</v>
      </c>
      <c r="S24" s="22">
        <f t="shared" si="62"/>
        <v>99</v>
      </c>
      <c r="T24" s="22">
        <f t="shared" si="62"/>
        <v>83.4</v>
      </c>
      <c r="U24" s="22">
        <f t="shared" si="62"/>
        <v>83.7</v>
      </c>
      <c r="V24" s="22">
        <f t="shared" si="62"/>
        <v>84</v>
      </c>
      <c r="W24" s="22">
        <f t="shared" si="62"/>
        <v>93.3</v>
      </c>
      <c r="X24" s="23">
        <f t="shared" si="62"/>
        <v>1584</v>
      </c>
      <c r="Y24" s="23">
        <f t="shared" si="62"/>
        <v>1334.4</v>
      </c>
      <c r="Z24" s="23">
        <f t="shared" si="62"/>
        <v>1443.04</v>
      </c>
      <c r="AA24" s="23">
        <f t="shared" si="62"/>
        <v>1344</v>
      </c>
      <c r="AB24" s="23">
        <f t="shared" si="62"/>
        <v>1492.8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>
      <c r="A25" s="4" t="s">
        <v>40</v>
      </c>
      <c r="B25" s="3"/>
      <c r="C25" s="17">
        <f t="shared" ref="C25:AB25" si="63">MIN(C7:C20)</f>
        <v>17.31</v>
      </c>
      <c r="D25" s="18">
        <f t="shared" si="63"/>
        <v>22</v>
      </c>
      <c r="E25" s="18">
        <f t="shared" si="63"/>
        <v>31.25</v>
      </c>
      <c r="F25" s="18">
        <f t="shared" si="63"/>
        <v>23</v>
      </c>
      <c r="G25" s="18">
        <f t="shared" si="63"/>
        <v>32</v>
      </c>
      <c r="H25" s="18">
        <f t="shared" si="63"/>
        <v>31.25</v>
      </c>
      <c r="I25" s="19">
        <f t="shared" si="63"/>
        <v>0</v>
      </c>
      <c r="J25" s="19">
        <f t="shared" si="63"/>
        <v>0</v>
      </c>
      <c r="K25" s="19">
        <f t="shared" si="63"/>
        <v>0</v>
      </c>
      <c r="L25" s="19">
        <f t="shared" si="63"/>
        <v>0</v>
      </c>
      <c r="M25" s="20">
        <f t="shared" si="63"/>
        <v>0</v>
      </c>
      <c r="N25" s="21">
        <f t="shared" si="63"/>
        <v>495.88</v>
      </c>
      <c r="O25" s="21">
        <f t="shared" si="63"/>
        <v>612.5</v>
      </c>
      <c r="P25" s="21">
        <f t="shared" si="63"/>
        <v>518.42</v>
      </c>
      <c r="Q25" s="21">
        <f t="shared" si="63"/>
        <v>612.5</v>
      </c>
      <c r="R25" s="21">
        <f t="shared" si="63"/>
        <v>656.25</v>
      </c>
      <c r="S25" s="22">
        <f t="shared" si="63"/>
        <v>0</v>
      </c>
      <c r="T25" s="22">
        <f t="shared" si="63"/>
        <v>0</v>
      </c>
      <c r="U25" s="22">
        <f t="shared" si="63"/>
        <v>0</v>
      </c>
      <c r="V25" s="22">
        <f t="shared" si="63"/>
        <v>0</v>
      </c>
      <c r="W25" s="22">
        <f t="shared" si="63"/>
        <v>0</v>
      </c>
      <c r="X25" s="23">
        <f t="shared" si="63"/>
        <v>495.88</v>
      </c>
      <c r="Y25" s="23">
        <f t="shared" si="63"/>
        <v>612.5</v>
      </c>
      <c r="Z25" s="23">
        <f t="shared" si="63"/>
        <v>518.42</v>
      </c>
      <c r="AA25" s="23">
        <f t="shared" si="63"/>
        <v>612.5</v>
      </c>
      <c r="AB25" s="23">
        <f t="shared" si="63"/>
        <v>656.25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>
      <c r="A26" s="4" t="s">
        <v>41</v>
      </c>
      <c r="B26" s="3"/>
      <c r="C26" s="17">
        <f t="shared" ref="C26:AB26" si="64">AVERAGE(C7:C20)</f>
        <v>24.14785714</v>
      </c>
      <c r="D26" s="18">
        <f t="shared" si="64"/>
        <v>38.05357143</v>
      </c>
      <c r="E26" s="18">
        <f t="shared" si="64"/>
        <v>39.73214286</v>
      </c>
      <c r="F26" s="18">
        <f t="shared" si="64"/>
        <v>38.33928571</v>
      </c>
      <c r="G26" s="18">
        <f t="shared" si="64"/>
        <v>39.60714286</v>
      </c>
      <c r="H26" s="18">
        <f t="shared" si="64"/>
        <v>40.48214286</v>
      </c>
      <c r="I26" s="19">
        <f t="shared" si="64"/>
        <v>1.285714286</v>
      </c>
      <c r="J26" s="19">
        <f t="shared" si="64"/>
        <v>1.857142857</v>
      </c>
      <c r="K26" s="19">
        <f t="shared" si="64"/>
        <v>1.678571429</v>
      </c>
      <c r="L26" s="19">
        <f t="shared" si="64"/>
        <v>1.857142857</v>
      </c>
      <c r="M26" s="20">
        <f t="shared" si="64"/>
        <v>1.857142857</v>
      </c>
      <c r="N26" s="21">
        <f t="shared" si="64"/>
        <v>917.3653571</v>
      </c>
      <c r="O26" s="21">
        <f t="shared" si="64"/>
        <v>955.7267857</v>
      </c>
      <c r="P26" s="21">
        <f t="shared" si="64"/>
        <v>929.3121429</v>
      </c>
      <c r="Q26" s="21">
        <f t="shared" si="64"/>
        <v>962.9142857</v>
      </c>
      <c r="R26" s="21">
        <f t="shared" si="64"/>
        <v>984.1421429</v>
      </c>
      <c r="S26" s="22">
        <f t="shared" si="64"/>
        <v>18.36685714</v>
      </c>
      <c r="T26" s="22">
        <f t="shared" si="64"/>
        <v>26.59371429</v>
      </c>
      <c r="U26" s="22">
        <f t="shared" si="64"/>
        <v>25.46892857</v>
      </c>
      <c r="V26" s="22">
        <f t="shared" si="64"/>
        <v>28.27285714</v>
      </c>
      <c r="W26" s="22">
        <f t="shared" si="64"/>
        <v>29.40257143</v>
      </c>
      <c r="X26" s="23">
        <f t="shared" si="64"/>
        <v>935.7322143</v>
      </c>
      <c r="Y26" s="23">
        <f t="shared" si="64"/>
        <v>982.3205</v>
      </c>
      <c r="Z26" s="23">
        <f t="shared" si="64"/>
        <v>954.7810714</v>
      </c>
      <c r="AA26" s="23">
        <f t="shared" si="64"/>
        <v>991.1871429</v>
      </c>
      <c r="AB26" s="23">
        <f t="shared" si="64"/>
        <v>1013.544714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>
      <c r="A27" s="4" t="s">
        <v>42</v>
      </c>
      <c r="B27" s="3"/>
      <c r="C27" s="17">
        <f t="shared" ref="C27:AB27" si="65">SUM(C7:C20)</f>
        <v>338.07</v>
      </c>
      <c r="D27" s="24">
        <f t="shared" si="65"/>
        <v>532.75</v>
      </c>
      <c r="E27" s="24">
        <f t="shared" si="65"/>
        <v>556.25</v>
      </c>
      <c r="F27" s="24">
        <f t="shared" si="65"/>
        <v>536.75</v>
      </c>
      <c r="G27" s="24">
        <f t="shared" si="65"/>
        <v>554.5</v>
      </c>
      <c r="H27" s="24">
        <f t="shared" si="65"/>
        <v>566.75</v>
      </c>
      <c r="I27" s="25">
        <f t="shared" si="65"/>
        <v>18</v>
      </c>
      <c r="J27" s="25">
        <f t="shared" si="65"/>
        <v>26</v>
      </c>
      <c r="K27" s="25">
        <f t="shared" si="65"/>
        <v>23.5</v>
      </c>
      <c r="L27" s="25">
        <f t="shared" si="65"/>
        <v>26</v>
      </c>
      <c r="M27" s="26">
        <f t="shared" si="65"/>
        <v>26</v>
      </c>
      <c r="N27" s="21">
        <f t="shared" si="65"/>
        <v>12843.115</v>
      </c>
      <c r="O27" s="21">
        <f t="shared" si="65"/>
        <v>13380.175</v>
      </c>
      <c r="P27" s="21">
        <f t="shared" si="65"/>
        <v>13010.37</v>
      </c>
      <c r="Q27" s="21">
        <f t="shared" si="65"/>
        <v>13480.8</v>
      </c>
      <c r="R27" s="21">
        <f t="shared" si="65"/>
        <v>13777.99</v>
      </c>
      <c r="S27" s="22">
        <f t="shared" si="65"/>
        <v>257.136</v>
      </c>
      <c r="T27" s="22">
        <f t="shared" si="65"/>
        <v>372.312</v>
      </c>
      <c r="U27" s="22">
        <f t="shared" si="65"/>
        <v>356.565</v>
      </c>
      <c r="V27" s="22">
        <f t="shared" si="65"/>
        <v>395.82</v>
      </c>
      <c r="W27" s="22">
        <f t="shared" si="65"/>
        <v>411.636</v>
      </c>
      <c r="X27" s="23">
        <f t="shared" si="65"/>
        <v>13100.251</v>
      </c>
      <c r="Y27" s="23">
        <f t="shared" si="65"/>
        <v>13752.487</v>
      </c>
      <c r="Z27" s="23">
        <f t="shared" si="65"/>
        <v>13366.935</v>
      </c>
      <c r="AA27" s="23">
        <f t="shared" si="65"/>
        <v>13876.62</v>
      </c>
      <c r="AB27" s="23">
        <f t="shared" si="65"/>
        <v>14189.626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</row>
  </sheetData>
  <mergeCells count="7">
    <mergeCell ref="A1:D2"/>
    <mergeCell ref="D5:H5"/>
    <mergeCell ref="I5:M5"/>
    <mergeCell ref="N5:R5"/>
    <mergeCell ref="S5:W5"/>
    <mergeCell ref="X5:AB5"/>
    <mergeCell ref="A5:B5"/>
  </mergeCells>
  <drawing r:id="rId1"/>
  <tableParts count="2">
    <tablePart r:id="rId4"/>
    <tablePart r:id="rId5"/>
  </tableParts>
</worksheet>
</file>